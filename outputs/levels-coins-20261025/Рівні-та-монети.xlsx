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78990de1d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івні та монети" sheetId="1" r:id="R6aaf1b6fd19148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9">
    <x:font>
      <x:sz val="11"/>
      <x:name val="Carlito"/>
    </x:font>
    <x:font>
      <x:sz val="11"/>
      <x:color rgb="FF27223A"/>
      <x:name val="Arial"/>
    </x:font>
    <x:font>
      <x:b/>
      <x:sz val="17"/>
      <x:color rgb="FF5B21B6"/>
      <x:name val="Arial"/>
    </x:font>
    <x:font>
      <x:b/>
      <x:sz val="11"/>
      <x:color rgb="FF92400E"/>
      <x:name val="Arial"/>
    </x:font>
    <x:font>
      <x:i/>
      <x:sz val="11"/>
      <x:color rgb="FF6B647A"/>
      <x:name val="Arial"/>
    </x:font>
    <x:font>
      <x:b/>
      <x:sz val="11"/>
      <x:color rgb="FF5B21B6"/>
      <x:name val="Arial"/>
    </x:font>
    <x:font>
      <x:b/>
      <x:sz val="14"/>
      <x:color rgb="FF5B21B6"/>
      <x:name val="Arial"/>
    </x:font>
    <x:font>
      <x:b/>
      <x:sz val="11"/>
      <x:color rgb="FFFFFFFF"/>
      <x:name val="Arial"/>
    </x:font>
    <x:font>
      <x:sz val="11"/>
      <x:color rgb="FF6B647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EF3C7"/>
      </x:patternFill>
    </x:fill>
    <x:fill>
      <x:patternFill patternType="solid">
        <x:fgColor rgb="FFF3F0FA"/>
      </x:patternFill>
    </x:fill>
    <x:fill>
      <x:patternFill patternType="solid">
        <x:fgColor rgb="FF5B21B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DD6FE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ill>
        <x:patternFill patternType="solid">
          <x:bgColor rgb="FFF5F2FC"/>
        </x:patternFill>
      </x:fill>
    </x:dxf>
    <x:dxf>
      <x:font>
        <x:b/>
      </x:font>
      <x:fill>
        <x:patternFill patternType="solid">
          <x:bgColor rgb="FFEDE9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6a6476b0d24dc5" /><Relationship Type="http://schemas.openxmlformats.org/officeDocument/2006/relationships/theme" Target="/xl/theme/theme1.xml" Id="R064dc6a8832d4c21" /><Relationship Type="http://schemas.openxmlformats.org/officeDocument/2006/relationships/sharedStrings" Target="/xl/sharedStrings.xml" Id="R9e7595037ce14280" /><Relationship Type="http://schemas.openxmlformats.org/officeDocument/2006/relationships/worksheet" Target="/xl/worksheets/sheet1.xml" Id="R6aaf1b6fd19148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D28D9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9" hidden="0" customWidth="1"/>
    <x:col min="6" max="6" width="25" hidden="0" customWidth="1"/>
    <x:col min="7" max="7" width="25" hidden="0" customWidth="1"/>
    <x:col min="8" max="8" width="3" hidden="0" customWidth="1"/>
    <x:col min="9" max="9" width="49" hidden="0" customWidth="1"/>
    <x:col min="10" max="10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3" customHeight="1">
      <x:c r="A2" s="3" t="str">
        <x:v>Math Master: рівні та монети</x:v>
      </x:c>
      <x:c r="B2" s="2"/>
      <x:c r="C2" s="2"/>
      <x:c r="D2" s="2"/>
      <x:c r="E2" s="2"/>
      <x:c r="F2" s="2"/>
      <x:c r="G2" s="2"/>
      <x:c r="H2" s="2"/>
      <x:c r="I2" s="9" t="str">
        <x:v>Правила нарахування</x:v>
      </x:c>
      <x:c r="J2" s="2"/>
    </x:row>
    <x:row r="3" ht="23" customHeight="1">
      <x:c r="A3" s="4"/>
      <x:c r="B3" s="4"/>
      <x:c r="C3" s="4"/>
      <x:c r="D3" s="4"/>
      <x:c r="E3" s="4"/>
      <x:c r="F3" s="4"/>
      <x:c r="G3" s="4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 t="str">
        <x:v>Стартові монети</x:v>
      </x:c>
      <x:c r="J4" s="11" t="n">
        <x:v>10</x:v>
      </x:c>
    </x:row>
    <x:row r="5" ht="23" customHeight="1">
      <x:c r="A5" s="2" t="str">
        <x:v>Ціль рівня 1</x:v>
      </x:c>
      <x:c r="B5" s="6" t="n">
        <x:v>100</x:v>
      </x:c>
      <x:c r="C5" s="2" t="str">
        <x:v>балів</x:v>
      </x:c>
      <x:c r="D5" s="2"/>
      <x:c r="E5" s="2" t="str">
        <x:v>Кількість рівнів</x:v>
      </x:c>
      <x:c r="F5" s="8" t="n">
        <x:f>COUNT(A9:A25)</x:f>
        <x:v>13</x:v>
      </x:c>
      <x:c r="G5" s="2"/>
      <x:c r="H5" s="2"/>
      <x:c r="I5" s="2" t="str">
        <x:v>Бонус першої винагороди дня</x:v>
      </x:c>
      <x:c r="J5" s="11" t="n">
        <x:v>5</x:v>
      </x:c>
    </x:row>
    <x:row r="6" ht="23" customHeight="1">
      <x:c r="A6" s="7" t="str">
        <x:v>Змініть жовту клітинку B5, якщо ціль у грі інша.</x:v>
      </x:c>
      <x:c r="B6" s="2"/>
      <x:c r="C6" s="2"/>
      <x:c r="D6" s="2"/>
      <x:c r="E6" s="2" t="str">
        <x:v>Монет за всі рівні</x:v>
      </x:c>
      <x:c r="F6" s="8" t="n">
        <x:f>SUM(E9:E25)</x:f>
        <x:v>2181</x:v>
      </x:c>
      <x:c r="G6" s="2"/>
      <x:c r="H6" s="2"/>
      <x:c r="I6" s="2" t="str">
        <x:v>Балів за 1 монету</x:v>
      </x:c>
      <x:c r="J6" s="11" t="n">
        <x:v>20</x:v>
      </x:c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 t="str">
        <x:v>Бонус за кожен рівень вище першого</x:v>
      </x:c>
      <x:c r="J7" s="11" t="n">
        <x:v>5</x:v>
      </x:c>
    </x:row>
    <x:row r="8" ht="42" customHeight="1">
      <x:c r="A8" s="16" t="str">
        <x:v>Рівень</x:v>
      </x:c>
      <x:c r="B8" s="16" t="str">
        <x:v>Ціль, балів</x:v>
      </x:c>
      <x:c r="C8" s="16" t="str">
        <x:v>За бали, монет</x:v>
      </x:c>
      <x:c r="D8" s="16" t="str">
        <x:v>За рівень, монет</x:v>
      </x:c>
      <x:c r="E8" s="16" t="str">
        <x:v>За перемогу, монет</x:v>
      </x:c>
      <x:c r="F8" s="16" t="str">
        <x:v>Перша винагорода дня, монет</x:v>
      </x:c>
      <x:c r="G8" s="16" t="str">
        <x:v>Разом без бонусів, монет</x:v>
      </x:c>
      <x:c r="H8" s="2"/>
      <x:c r="I8" s="2" t="str">
        <x:v>Множник цілі наступного рівня</x:v>
      </x:c>
      <x:c r="J8" s="12" t="n">
        <x:v>1.5</x:v>
      </x:c>
    </x:row>
    <x:row r="9" ht="23" customHeight="1">
      <x:c r="A9" s="18" t="n">
        <x:f>1</x:f>
        <x:v>1</x:v>
      </x:c>
      <x:c r="B9" s="18" t="n">
        <x:f>IF(A9="","",IF(A9=1,MIN($J$9,$B$5),MIN($J$9,ROUND($B$5*$J$8^(A9-1)/10,0)*10)))</x:f>
        <x:v>100</x:v>
      </x:c>
      <x:c r="C9" s="18" t="n">
        <x:f>IF(A9="","",MAX(1,ROUND(B9/$J$6,0)))</x:f>
        <x:v>5</x:v>
      </x:c>
      <x:c r="D9" s="18" t="n">
        <x:f>IF(A9="","",$J$7*(A9-1))</x:f>
        <x:v>0</x:v>
      </x:c>
      <x:c r="E9" s="19" t="n">
        <x:f>IF(A9="","",SUM(C9:D9))</x:f>
        <x:v>5</x:v>
      </x:c>
      <x:c r="F9" s="18" t="n">
        <x:f>IF(A9="","",E9+$J$5)</x:f>
        <x:v>10</x:v>
      </x:c>
      <x:c r="G9" s="18" t="n">
        <x:f>IF(A9="","",SUM($E$9:E9))</x:f>
        <x:v>5</x:v>
      </x:c>
      <x:c r="H9" s="2"/>
      <x:c r="I9" s="2" t="str">
        <x:v>Максимальна ціль, балів</x:v>
      </x:c>
      <x:c r="J9" s="11" t="n">
        <x:v>10000</x:v>
      </x:c>
    </x:row>
    <x:row r="10" ht="23" customHeight="1">
      <x:c r="A10" s="18" t="n">
        <x:f>IF(A9="","",IF(B9&gt;=$J$9,"",A9+1))</x:f>
        <x:v>2</x:v>
      </x:c>
      <x:c r="B10" s="18" t="n">
        <x:f>IF(A10="","",IF(A10=1,MIN($J$9,$B$5),MIN($J$9,ROUND($B$5*$J$8^(A10-1)/10,0)*10)))</x:f>
        <x:v>150</x:v>
      </x:c>
      <x:c r="C10" s="18" t="n">
        <x:f>IF(A10="","",MAX(1,ROUND(B10/$J$6,0)))</x:f>
        <x:v>8</x:v>
      </x:c>
      <x:c r="D10" s="18" t="n">
        <x:f>IF(A10="","",$J$7*(A10-1))</x:f>
        <x:v>5</x:v>
      </x:c>
      <x:c r="E10" s="19" t="n">
        <x:f>IF(A10="","",SUM(C10:D10))</x:f>
        <x:v>13</x:v>
      </x:c>
      <x:c r="F10" s="18" t="n">
        <x:f>IF(A10="","",E10+$J$5)</x:f>
        <x:v>18</x:v>
      </x:c>
      <x:c r="G10" s="18" t="n">
        <x:f>IF(A10="","",SUM($E$9:E10))</x:f>
        <x:v>18</x:v>
      </x:c>
      <x:c r="H10" s="2"/>
      <x:c r="I10" s="2"/>
      <x:c r="J10" s="2"/>
    </x:row>
    <x:row r="11" ht="23" customHeight="1">
      <x:c r="A11" s="18" t="n">
        <x:f>IF(A10="","",IF(B10&gt;=$J$9,"",A10+1))</x:f>
        <x:v>3</x:v>
      </x:c>
      <x:c r="B11" s="18" t="n">
        <x:f>IF(A11="","",IF(A11=1,MIN($J$9,$B$5),MIN($J$9,ROUND($B$5*$J$8^(A11-1)/10,0)*10)))</x:f>
        <x:v>230</x:v>
      </x:c>
      <x:c r="C11" s="18" t="n">
        <x:f>IF(A11="","",MAX(1,ROUND(B11/$J$6,0)))</x:f>
        <x:v>12</x:v>
      </x:c>
      <x:c r="D11" s="18" t="n">
        <x:f>IF(A11="","",$J$7*(A11-1))</x:f>
        <x:v>10</x:v>
      </x:c>
      <x:c r="E11" s="19" t="n">
        <x:f>IF(A11="","",SUM(C11:D11))</x:f>
        <x:v>22</x:v>
      </x:c>
      <x:c r="F11" s="18" t="n">
        <x:f>IF(A11="","",E11+$J$5)</x:f>
        <x:v>27</x:v>
      </x:c>
      <x:c r="G11" s="18" t="n">
        <x:f>IF(A11="","",SUM($E$9:E11))</x:f>
        <x:v>40</x:v>
      </x:c>
      <x:c r="H11" s="2"/>
      <x:c r="I11" s="2"/>
      <x:c r="J11" s="2"/>
    </x:row>
    <x:row r="12" ht="23" customHeight="1">
      <x:c r="A12" s="18" t="n">
        <x:f>IF(A11="","",IF(B11&gt;=$J$9,"",A11+1))</x:f>
        <x:v>4</x:v>
      </x:c>
      <x:c r="B12" s="18" t="n">
        <x:f>IF(A12="","",IF(A12=1,MIN($J$9,$B$5),MIN($J$9,ROUND($B$5*$J$8^(A12-1)/10,0)*10)))</x:f>
        <x:v>340</x:v>
      </x:c>
      <x:c r="C12" s="18" t="n">
        <x:f>IF(A12="","",MAX(1,ROUND(B12/$J$6,0)))</x:f>
        <x:v>17</x:v>
      </x:c>
      <x:c r="D12" s="18" t="n">
        <x:f>IF(A12="","",$J$7*(A12-1))</x:f>
        <x:v>15</x:v>
      </x:c>
      <x:c r="E12" s="19" t="n">
        <x:f>IF(A12="","",SUM(C12:D12))</x:f>
        <x:v>32</x:v>
      </x:c>
      <x:c r="F12" s="18" t="n">
        <x:f>IF(A12="","",E12+$J$5)</x:f>
        <x:v>37</x:v>
      </x:c>
      <x:c r="G12" s="18" t="n">
        <x:f>IF(A12="","",SUM($E$9:E12))</x:f>
        <x:v>72</x:v>
      </x:c>
      <x:c r="H12" s="2"/>
      <x:c r="I12" s="8" t="str">
        <x:v>Коли дають монети</x:v>
      </x:c>
      <x:c r="J12" s="2"/>
    </x:row>
    <x:row r="13" ht="23" customHeight="1">
      <x:c r="A13" s="18" t="n">
        <x:f>IF(A12="","",IF(B12&gt;=$J$9,"",A12+1))</x:f>
        <x:v>5</x:v>
      </x:c>
      <x:c r="B13" s="18" t="n">
        <x:f>IF(A13="","",IF(A13=1,MIN($J$9,$B$5),MIN($J$9,ROUND($B$5*$J$8^(A13-1)/10,0)*10)))</x:f>
        <x:v>510</x:v>
      </x:c>
      <x:c r="C13" s="18" t="n">
        <x:f>IF(A13="","",MAX(1,ROUND(B13/$J$6,0)))</x:f>
        <x:v>26</x:v>
      </x:c>
      <x:c r="D13" s="18" t="n">
        <x:f>IF(A13="","",$J$7*(A13-1))</x:f>
        <x:v>20</x:v>
      </x:c>
      <x:c r="E13" s="19" t="n">
        <x:f>IF(A13="","",SUM(C13:D13))</x:f>
        <x:v>46</x:v>
      </x:c>
      <x:c r="F13" s="18" t="n">
        <x:f>IF(A13="","",E13+$J$5)</x:f>
        <x:v>51</x:v>
      </x:c>
      <x:c r="G13" s="18" t="n">
        <x:f>IF(A13="","",SUM($E$9:E13))</x:f>
        <x:v>118</x:v>
      </x:c>
      <x:c r="H13" s="2"/>
      <x:c r="I13" s="2" t="str">
        <x:v>Бонус дня — один раз за календарний день.</x:v>
      </x:c>
      <x:c r="J13" s="2"/>
    </x:row>
    <x:row r="14" ht="23" customHeight="1">
      <x:c r="A14" s="18" t="n">
        <x:f>IF(A13="","",IF(B13&gt;=$J$9,"",A13+1))</x:f>
        <x:v>6</x:v>
      </x:c>
      <x:c r="B14" s="18" t="n">
        <x:f>IF(A14="","",IF(A14=1,MIN($J$9,$B$5),MIN($J$9,ROUND($B$5*$J$8^(A14-1)/10,0)*10)))</x:f>
        <x:v>760</x:v>
      </x:c>
      <x:c r="C14" s="18" t="n">
        <x:f>IF(A14="","",MAX(1,ROUND(B14/$J$6,0)))</x:f>
        <x:v>38</x:v>
      </x:c>
      <x:c r="D14" s="18" t="n">
        <x:f>IF(A14="","",$J$7*(A14-1))</x:f>
        <x:v>25</x:v>
      </x:c>
      <x:c r="E14" s="19" t="n">
        <x:f>IF(A14="","",SUM(C14:D14))</x:f>
        <x:v>63</x:v>
      </x:c>
      <x:c r="F14" s="18" t="n">
        <x:f>IF(A14="","",E14+$J$5)</x:f>
        <x:v>68</x:v>
      </x:c>
      <x:c r="G14" s="18" t="n">
        <x:f>IF(A14="","",SUM($E$9:E14))</x:f>
        <x:v>181</x:v>
      </x:c>
      <x:c r="H14" s="2"/>
      <x:c r="I14" s="2" t="str">
        <x:v>Повторна перемога знову дає монети.</x:v>
      </x:c>
      <x:c r="J14" s="2"/>
    </x:row>
    <x:row r="15" ht="23" customHeight="1">
      <x:c r="A15" s="18" t="n">
        <x:f>IF(A14="","",IF(B14&gt;=$J$9,"",A14+1))</x:f>
        <x:v>7</x:v>
      </x:c>
      <x:c r="B15" s="18" t="n">
        <x:f>IF(A15="","",IF(A15=1,MIN($J$9,$B$5),MIN($J$9,ROUND($B$5*$J$8^(A15-1)/10,0)*10)))</x:f>
        <x:v>1140</x:v>
      </x:c>
      <x:c r="C15" s="18" t="n">
        <x:f>IF(A15="","",MAX(1,ROUND(B15/$J$6,0)))</x:f>
        <x:v>57</x:v>
      </x:c>
      <x:c r="D15" s="18" t="n">
        <x:f>IF(A15="","",$J$7*(A15-1))</x:f>
        <x:v>30</x:v>
      </x:c>
      <x:c r="E15" s="19" t="n">
        <x:f>IF(A15="","",SUM(C15:D15))</x:f>
        <x:v>87</x:v>
      </x:c>
      <x:c r="F15" s="18" t="n">
        <x:f>IF(A15="","",E15+$J$5)</x:f>
        <x:v>92</x:v>
      </x:c>
      <x:c r="G15" s="18" t="n">
        <x:f>IF(A15="","",SUM($E$9:E15))</x:f>
        <x:v>268</x:v>
      </x:c>
      <x:c r="H15" s="2"/>
      <x:c r="I15" s="2" t="str">
        <x:v>Дострокове завершення з увімкненою ціллю: 0.</x:v>
      </x:c>
      <x:c r="J15" s="2"/>
    </x:row>
    <x:row r="16" ht="23" customHeight="1">
      <x:c r="A16" s="18" t="n">
        <x:f>IF(A15="","",IF(B15&gt;=$J$9,"",A15+1))</x:f>
        <x:v>8</x:v>
      </x:c>
      <x:c r="B16" s="18" t="n">
        <x:f>IF(A16="","",IF(A16=1,MIN($J$9,$B$5),MIN($J$9,ROUND($B$5*$J$8^(A16-1)/10,0)*10)))</x:f>
        <x:v>1710</x:v>
      </x:c>
      <x:c r="C16" s="18" t="n">
        <x:f>IF(A16="","",MAX(1,ROUND(B16/$J$6,0)))</x:f>
        <x:v>86</x:v>
      </x:c>
      <x:c r="D16" s="18" t="n">
        <x:f>IF(A16="","",$J$7*(A16-1))</x:f>
        <x:v>35</x:v>
      </x:c>
      <x:c r="E16" s="19" t="n">
        <x:f>IF(A16="","",SUM(C16:D16))</x:f>
        <x:v>121</x:v>
      </x:c>
      <x:c r="F16" s="18" t="n">
        <x:f>IF(A16="","",E16+$J$5)</x:f>
        <x:v>126</x:v>
      </x:c>
      <x:c r="G16" s="18" t="n">
        <x:f>IF(A16="","",SUM($E$9:E16))</x:f>
        <x:v>389</x:v>
      </x:c>
      <x:c r="H16" s="2"/>
      <x:c r="I16" s="2" t="str">
        <x:v>Без цілі: 1 монета за повні 20 балів.</x:v>
      </x:c>
      <x:c r="J16" s="2"/>
    </x:row>
    <x:row r="17" ht="23" customHeight="1">
      <x:c r="A17" s="18" t="n">
        <x:f>IF(A16="","",IF(B16&gt;=$J$9,"",A16+1))</x:f>
        <x:v>9</x:v>
      </x:c>
      <x:c r="B17" s="18" t="n">
        <x:f>IF(A17="","",IF(A17=1,MIN($J$9,$B$5),MIN($J$9,ROUND($B$5*$J$8^(A17-1)/10,0)*10)))</x:f>
        <x:v>2560</x:v>
      </x:c>
      <x:c r="C17" s="18" t="n">
        <x:f>IF(A17="","",MAX(1,ROUND(B17/$J$6,0)))</x:f>
        <x:v>128</x:v>
      </x:c>
      <x:c r="D17" s="18" t="n">
        <x:f>IF(A17="","",$J$7*(A17-1))</x:f>
        <x:v>40</x:v>
      </x:c>
      <x:c r="E17" s="19" t="n">
        <x:f>IF(A17="","",SUM(C17:D17))</x:f>
        <x:v>168</x:v>
      </x:c>
      <x:c r="F17" s="18" t="n">
        <x:f>IF(A17="","",E17+$J$5)</x:f>
        <x:v>173</x:v>
      </x:c>
      <x:c r="G17" s="18" t="n">
        <x:f>IF(A17="","",SUM($E$9:E17))</x:f>
        <x:v>557</x:v>
      </x:c>
      <x:c r="H17" s="2"/>
      <x:c r="I17" s="2" t="str">
        <x:v>Бонус дня діє й у режимі без цілі.</x:v>
      </x:c>
      <x:c r="J17" s="2"/>
    </x:row>
    <x:row r="18" ht="23" customHeight="1">
      <x:c r="A18" s="18" t="n">
        <x:f>IF(A17="","",IF(B17&gt;=$J$9,"",A17+1))</x:f>
        <x:v>10</x:v>
      </x:c>
      <x:c r="B18" s="18" t="n">
        <x:f>IF(A18="","",IF(A18=1,MIN($J$9,$B$5),MIN($J$9,ROUND($B$5*$J$8^(A18-1)/10,0)*10)))</x:f>
        <x:v>3840</x:v>
      </x:c>
      <x:c r="C18" s="18" t="n">
        <x:f>IF(A18="","",MAX(1,ROUND(B18/$J$6,0)))</x:f>
        <x:v>192</x:v>
      </x:c>
      <x:c r="D18" s="18" t="n">
        <x:f>IF(A18="","",$J$7*(A18-1))</x:f>
        <x:v>45</x:v>
      </x:c>
      <x:c r="E18" s="19" t="n">
        <x:f>IF(A18="","",SUM(C18:D18))</x:f>
        <x:v>237</x:v>
      </x:c>
      <x:c r="F18" s="18" t="n">
        <x:f>IF(A18="","",E18+$J$5)</x:f>
        <x:v>242</x:v>
      </x:c>
      <x:c r="G18" s="18" t="n">
        <x:f>IF(A18="","",SUM($E$9:E18))</x:f>
        <x:v>794</x:v>
      </x:c>
      <x:c r="H18" s="2"/>
      <x:c r="I18" s="2" t="str">
        <x:v>Мінігра з тваринкою не дає монет.</x:v>
      </x:c>
      <x:c r="J18" s="2"/>
    </x:row>
    <x:row r="19" ht="23" customHeight="1">
      <x:c r="A19" s="18" t="n">
        <x:f>IF(A18="","",IF(B18&gt;=$J$9,"",A18+1))</x:f>
        <x:v>11</x:v>
      </x:c>
      <x:c r="B19" s="18" t="n">
        <x:f>IF(A19="","",IF(A19=1,MIN($J$9,$B$5),MIN($J$9,ROUND($B$5*$J$8^(A19-1)/10,0)*10)))</x:f>
        <x:v>5770</x:v>
      </x:c>
      <x:c r="C19" s="18" t="n">
        <x:f>IF(A19="","",MAX(1,ROUND(B19/$J$6,0)))</x:f>
        <x:v>289</x:v>
      </x:c>
      <x:c r="D19" s="18" t="n">
        <x:f>IF(A19="","",$J$7*(A19-1))</x:f>
        <x:v>50</x:v>
      </x:c>
      <x:c r="E19" s="19" t="n">
        <x:f>IF(A19="","",SUM(C19:D19))</x:f>
        <x:v>339</x:v>
      </x:c>
      <x:c r="F19" s="18" t="n">
        <x:f>IF(A19="","",E19+$J$5)</x:f>
        <x:v>344</x:v>
      </x:c>
      <x:c r="G19" s="18" t="n">
        <x:f>IF(A19="","",SUM($E$9:E19))</x:f>
        <x:v>1133</x:v>
      </x:c>
      <x:c r="H19" s="2"/>
      <x:c r="I19" s="2" t="str">
        <x:v>Програш повертає до рівня 1.</x:v>
      </x:c>
      <x:c r="J19" s="2"/>
    </x:row>
    <x:row r="20" ht="23" customHeight="1">
      <x:c r="A20" s="18" t="n">
        <x:f>IF(A19="","",IF(B19&gt;=$J$9,"",A19+1))</x:f>
        <x:v>12</x:v>
      </x:c>
      <x:c r="B20" s="18" t="n">
        <x:f>IF(A20="","",IF(A20=1,MIN($J$9,$B$5),MIN($J$9,ROUND($B$5*$J$8^(A20-1)/10,0)*10)))</x:f>
        <x:v>8650</x:v>
      </x:c>
      <x:c r="C20" s="18" t="n">
        <x:f>IF(A20="","",MAX(1,ROUND(B20/$J$6,0)))</x:f>
        <x:v>433</x:v>
      </x:c>
      <x:c r="D20" s="18" t="n">
        <x:f>IF(A20="","",$J$7*(A20-1))</x:f>
        <x:v>55</x:v>
      </x:c>
      <x:c r="E20" s="19" t="n">
        <x:f>IF(A20="","",SUM(C20:D20))</x:f>
        <x:v>488</x:v>
      </x:c>
      <x:c r="F20" s="18" t="n">
        <x:f>IF(A20="","",E20+$J$5)</x:f>
        <x:v>493</x:v>
      </x:c>
      <x:c r="G20" s="18" t="n">
        <x:f>IF(A20="","",SUM($E$9:E20))</x:f>
        <x:v>1621</x:v>
      </x:c>
      <x:c r="H20" s="2"/>
      <x:c r="I20" s="2" t="str">
        <x:v>Витрати на тваринок тут не віднято.</x:v>
      </x:c>
      <x:c r="J20" s="2"/>
    </x:row>
    <x:row r="21" ht="23" customHeight="1">
      <x:c r="A21" s="18" t="n">
        <x:f>IF(A20="","",IF(B20&gt;=$J$9,"",A20+1))</x:f>
        <x:v>13</x:v>
      </x:c>
      <x:c r="B21" s="18" t="n">
        <x:f>IF(A21="","",IF(A21=1,MIN($J$9,$B$5),MIN($J$9,ROUND($B$5*$J$8^(A21-1)/10,0)*10)))</x:f>
        <x:v>10000</x:v>
      </x:c>
      <x:c r="C21" s="18" t="n">
        <x:f>IF(A21="","",MAX(1,ROUND(B21/$J$6,0)))</x:f>
        <x:v>500</x:v>
      </x:c>
      <x:c r="D21" s="18" t="n">
        <x:f>IF(A21="","",$J$7*(A21-1))</x:f>
        <x:v>60</x:v>
      </x:c>
      <x:c r="E21" s="19" t="n">
        <x:f>IF(A21="","",SUM(C21:D21))</x:f>
        <x:v>560</x:v>
      </x:c>
      <x:c r="F21" s="18" t="n">
        <x:f>IF(A21="","",E21+$J$5)</x:f>
        <x:v>565</x:v>
      </x:c>
      <x:c r="G21" s="18" t="n">
        <x:f>IF(A21="","",SUM($E$9:E21))</x:f>
        <x:v>2181</x:v>
      </x:c>
      <x:c r="H21" s="2"/>
      <x:c r="I21" s="2" t="str">
        <x:v>Стартові 10 монет не входять у суми.</x:v>
      </x:c>
      <x:c r="J21" s="2"/>
    </x:row>
    <x:row r="22" ht="23" customHeight="1">
      <x:c r="A22" s="18" t="str">
        <x:f>IF(A21="","",IF(B21&gt;=$J$9,"",A21+1))</x:f>
      </x:c>
      <x:c r="B22" s="18" t="str">
        <x:f>IF(A22="","",IF(A22=1,MIN($J$9,$B$5),MIN($J$9,ROUND($B$5*$J$8^(A22-1)/10,0)*10)))</x:f>
      </x:c>
      <x:c r="C22" s="18" t="str">
        <x:f>IF(A22="","",MAX(1,ROUND(B22/$J$6,0)))</x:f>
      </x:c>
      <x:c r="D22" s="18" t="str">
        <x:f>IF(A22="","",$J$7*(A22-1))</x:f>
      </x:c>
      <x:c r="E22" s="19" t="str">
        <x:f>IF(A22="","",SUM(C22:D22))</x:f>
      </x:c>
      <x:c r="F22" s="18" t="str">
        <x:f>IF(A22="","",E22+$J$5)</x:f>
      </x:c>
      <x:c r="G22" s="18" t="str">
        <x:f>IF(A22="","",SUM($E$9:E22))</x:f>
      </x:c>
      <x:c r="H22" s="2"/>
      <x:c r="I22" s="2"/>
      <x:c r="J22" s="2"/>
    </x:row>
    <x:row r="23" ht="23" customHeight="1">
      <x:c r="A23" s="18" t="str">
        <x:f>IF(A22="","",IF(B22&gt;=$J$9,"",A22+1))</x:f>
      </x:c>
      <x:c r="B23" s="18" t="str">
        <x:f>IF(A23="","",IF(A23=1,MIN($J$9,$B$5),MIN($J$9,ROUND($B$5*$J$8^(A23-1)/10,0)*10)))</x:f>
      </x:c>
      <x:c r="C23" s="18" t="str">
        <x:f>IF(A23="","",MAX(1,ROUND(B23/$J$6,0)))</x:f>
      </x:c>
      <x:c r="D23" s="18" t="str">
        <x:f>IF(A23="","",$J$7*(A23-1))</x:f>
      </x:c>
      <x:c r="E23" s="19" t="str">
        <x:f>IF(A23="","",SUM(C23:D23))</x:f>
      </x:c>
      <x:c r="F23" s="18" t="str">
        <x:f>IF(A23="","",E23+$J$5)</x:f>
      </x:c>
      <x:c r="G23" s="18" t="str">
        <x:f>IF(A23="","",SUM($E$9:E23))</x:f>
      </x:c>
      <x:c r="H23" s="2"/>
      <x:c r="I23" s="2"/>
      <x:c r="J23" s="2"/>
    </x:row>
    <x:row r="24" ht="23" customHeight="1">
      <x:c r="A24" s="18" t="str">
        <x:f>IF(A23="","",IF(B23&gt;=$J$9,"",A23+1))</x:f>
      </x:c>
      <x:c r="B24" s="18" t="str">
        <x:f>IF(A24="","",IF(A24=1,MIN($J$9,$B$5),MIN($J$9,ROUND($B$5*$J$8^(A24-1)/10,0)*10)))</x:f>
      </x:c>
      <x:c r="C24" s="18" t="str">
        <x:f>IF(A24="","",MAX(1,ROUND(B24/$J$6,0)))</x:f>
      </x:c>
      <x:c r="D24" s="18" t="str">
        <x:f>IF(A24="","",$J$7*(A24-1))</x:f>
      </x:c>
      <x:c r="E24" s="19" t="str">
        <x:f>IF(A24="","",SUM(C24:D24))</x:f>
      </x:c>
      <x:c r="F24" s="18" t="str">
        <x:f>IF(A24="","",E24+$J$5)</x:f>
      </x:c>
      <x:c r="G24" s="18" t="str">
        <x:f>IF(A24="","",SUM($E$9:E24))</x:f>
      </x:c>
      <x:c r="H24" s="2"/>
      <x:c r="I24" s="7" t="str">
        <x:v>Джерело: поточний код Math Master.</x:v>
      </x:c>
      <x:c r="J24" s="2"/>
    </x:row>
    <x:row r="25" ht="23" customHeight="1">
      <x:c r="A25" s="18" t="str">
        <x:f>IF(A24="","",IF(B24&gt;=$J$9,"",A24+1))</x:f>
      </x:c>
      <x:c r="B25" s="18" t="str">
        <x:f>IF(A25="","",IF(A25=1,MIN($J$9,$B$5),MIN($J$9,ROUND($B$5*$J$8^(A25-1)/10,0)*10)))</x:f>
      </x:c>
      <x:c r="C25" s="18" t="str">
        <x:f>IF(A25="","",MAX(1,ROUND(B25/$J$6,0)))</x:f>
      </x:c>
      <x:c r="D25" s="18" t="str">
        <x:f>IF(A25="","",$J$7*(A25-1))</x:f>
      </x:c>
      <x:c r="E25" s="19" t="str">
        <x:f>IF(A25="","",SUM(C25:D25))</x:f>
      </x:c>
      <x:c r="F25" s="18" t="str">
        <x:f>IF(A25="","",E25+$J$5)</x:f>
      </x:c>
      <x:c r="G25" s="18" t="str">
        <x:f>IF(A25="","",SUM($E$9:E25))</x:f>
      </x:c>
      <x:c r="H25" s="2"/>
      <x:c r="I25" s="7" t="str">
        <x:v>goalForLevel, coinsForLevel, sessionReward.</x:v>
      </x:c>
      <x:c r="J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7" t="str">
        <x:v>Правила перевірено 25.10.2026.</x:v>
      </x:c>
      <x:c r="J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 ht="23" customHeight="1">
      <x:c r="A28" s="20" t="str">
        <x:v>За бали: ціль / 20, округлена до цілого. За рівень: 5 × (рівень − 1).</x:v>
      </x:c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3" customHeight="1">
      <x:c r="A29" s="20" t="str">
        <x:v>«Перша винагорода дня» — приклад для кожного рівня. Бонус не додається до кожної перемоги.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3" customHeight="1">
      <x:c r="A30" s="20" t="str">
        <x:v>«Разом без бонусів» — по одній перемозі на кожному рівні. Без стартових монет та щоденних бонусів.</x:v>
      </x:c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3" customHeight="1">
      <x:c r="A31" s="20" t="str">
        <x:v>Порожні рядки після останнього рівня недоступні у грі: ціль уже досягла 10 000 балів.</x:v>
      </x:c>
      <x:c r="B31" s="2"/>
      <x:c r="C31" s="2"/>
      <x:c r="D31" s="2"/>
      <x:c r="E31" s="2"/>
      <x:c r="F31" s="2"/>
      <x:c r="G31" s="2"/>
      <x:c r="H31" s="2"/>
      <x:c r="I31" s="2"/>
      <x:c r="J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</x:sheetData>
  <x:conditionalFormatting sqref="A9:G25">
    <x:cfRule type="expression" dxfId="0" priority="1">
      <x:formula>AND(ISNUMBER($A9),MOD($A9,2)=1)</x:formula>
    </x:cfRule>
    <x:cfRule type="expression" dxfId="1" priority="2">
      <x:formula>$B9=$J$9</x:formula>
    </x:cfRule>
  </x:conditionalFormatting>
  <x:dataValidations count="1">
    <x:dataValidation type="whole" operator="between" sqref="B5">
      <x:formula1>20</x:formula1>
      <x:formula2>10000</x:formula2>
    </x:dataValidation>
  </x:dataValidations>
  <x:pageMargins left="0.7" right="0.7" top="0.75" bottom="0.75" header="0.3" footer="0.3"/>
</x:worksheet>
</file>